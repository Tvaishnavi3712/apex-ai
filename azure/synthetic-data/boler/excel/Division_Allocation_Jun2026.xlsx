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ocation Matrix" sheetId="1" state="visible" r:id="rId1"/>
    <sheet xmlns:r="http://schemas.openxmlformats.org/officeDocument/2006/relationships" name="Vari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7">
    <font>
      <name val="Calibri"/>
      <family val="2"/>
      <color theme="1"/>
      <sz val="11"/>
      <scheme val="minor"/>
    </font>
    <font>
      <b val="1"/>
      <color rgb="006C47FF"/>
      <sz val="18"/>
    </font>
    <font>
      <i val="1"/>
      <color rgb="00475569"/>
      <sz val="11"/>
    </font>
    <font>
      <b val="1"/>
      <color rgb="00FFFFFF"/>
      <sz val="11"/>
    </font>
    <font>
      <b val="1"/>
    </font>
    <font>
      <b val="1"/>
      <color rgb="00DC2626"/>
    </font>
    <font>
      <b val="1"/>
      <color rgb="0016A34A"/>
    </font>
  </fonts>
  <fills count="4">
    <fill>
      <patternFill/>
    </fill>
    <fill>
      <patternFill patternType="gray125"/>
    </fill>
    <fill>
      <patternFill patternType="solid">
        <fgColor rgb="006C47FF"/>
      </patternFill>
    </fill>
    <fill>
      <patternFill patternType="solid">
        <fgColor rgb="00F4F1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64" fontId="4" fillId="3" borderId="1" pivotButton="0" quotePrefix="0" xfId="0"/>
    <xf numFmtId="165" fontId="0" fillId="0" borderId="1" pivotButton="0" quotePrefix="0" xfId="0"/>
    <xf numFmtId="0" fontId="4" fillId="0" borderId="0" pivotButton="0" quotePrefix="0" xfId="0"/>
    <xf numFmtId="165" fontId="4" fillId="3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20" customWidth="1" min="7" max="7"/>
    <col width="22" customWidth="1" min="8" max="8"/>
  </cols>
  <sheetData>
    <row r="1">
      <c r="A1" s="1" t="inlineStr">
        <is>
          <t>Division Allocation — June 2026</t>
        </is>
      </c>
    </row>
    <row r="2">
      <c r="A2" s="2" t="inlineStr">
        <is>
          <t>5 divisions × 6 carriers  ·  $1,284,320 total monthly spend</t>
        </is>
      </c>
    </row>
    <row r="3"/>
    <row r="4" ht="32" customHeight="1">
      <c r="A4" s="3" t="inlineStr">
        <is>
          <t>Carrier</t>
        </is>
      </c>
      <c r="B4" s="3" t="inlineStr">
        <is>
          <t>HTS</t>
        </is>
      </c>
      <c r="C4" s="3" t="inlineStr">
        <is>
          <t>BLH</t>
        </is>
      </c>
      <c r="D4" s="3" t="inlineStr">
        <is>
          <t>CEQ</t>
        </is>
      </c>
      <c r="E4" s="3" t="inlineStr">
        <is>
          <t>RHO</t>
        </is>
      </c>
      <c r="F4" s="3" t="inlineStr">
        <is>
          <t>HEN</t>
        </is>
      </c>
      <c r="G4" s="3" t="inlineStr">
        <is>
          <t>Total</t>
        </is>
      </c>
      <c r="H4" s="3" t="inlineStr">
        <is>
          <t>% of Total</t>
        </is>
      </c>
    </row>
    <row r="5">
      <c r="A5" s="4" t="inlineStr">
        <is>
          <t>Cigna Medical</t>
        </is>
      </c>
      <c r="B5" s="5" t="n">
        <v>342266.14</v>
      </c>
      <c r="C5" s="5" t="n">
        <v>196981.3</v>
      </c>
      <c r="D5" s="5" t="n">
        <v>166676.48</v>
      </c>
      <c r="E5" s="5" t="n">
        <v>110523.44</v>
      </c>
      <c r="F5" s="5" t="n">
        <v>74870.72</v>
      </c>
      <c r="G5" s="6" t="n">
        <v>891318.0799999998</v>
      </c>
      <c r="H5" s="7" t="n">
        <v>0.6939999891927248</v>
      </c>
    </row>
    <row r="6">
      <c r="A6" s="4" t="inlineStr">
        <is>
          <t>Delta Dental</t>
        </is>
      </c>
      <c r="B6" s="5" t="n">
        <v>40440.67</v>
      </c>
      <c r="C6" s="5" t="n">
        <v>23274.45</v>
      </c>
      <c r="D6" s="5" t="n">
        <v>19693.76</v>
      </c>
      <c r="E6" s="5" t="n">
        <v>13058.97</v>
      </c>
      <c r="F6" s="5" t="n">
        <v>8846.4</v>
      </c>
      <c r="G6" s="6" t="n">
        <v>105314.25</v>
      </c>
      <c r="H6" s="7" t="n">
        <v>0.08200000650928108</v>
      </c>
    </row>
    <row r="7">
      <c r="A7" s="4" t="inlineStr">
        <is>
          <t>VSP Vision</t>
        </is>
      </c>
      <c r="B7" s="5" t="n">
        <v>11836.29</v>
      </c>
      <c r="C7" s="5" t="n">
        <v>6812.03</v>
      </c>
      <c r="D7" s="5" t="n">
        <v>5764.03</v>
      </c>
      <c r="E7" s="5" t="n">
        <v>3822.14</v>
      </c>
      <c r="F7" s="5" t="n">
        <v>2589.19</v>
      </c>
      <c r="G7" s="6" t="n">
        <v>30823.68</v>
      </c>
      <c r="H7" s="7" t="n">
        <v>0.02399999962626137</v>
      </c>
    </row>
    <row r="8">
      <c r="A8" s="4" t="inlineStr">
        <is>
          <t>Fidelity 401k</t>
        </is>
      </c>
      <c r="B8" s="5" t="n">
        <v>70031.39999999999</v>
      </c>
      <c r="C8" s="5" t="n">
        <v>40304.53</v>
      </c>
      <c r="D8" s="5" t="n">
        <v>34103.83</v>
      </c>
      <c r="E8" s="5" t="n">
        <v>22614.31</v>
      </c>
      <c r="F8" s="5" t="n">
        <v>15319.37</v>
      </c>
      <c r="G8" s="6" t="n">
        <v>182373.44</v>
      </c>
      <c r="H8" s="7" t="n">
        <v>0.1419999977887132</v>
      </c>
    </row>
    <row r="9">
      <c r="A9" s="4" t="inlineStr">
        <is>
          <t>Hartford Life</t>
        </is>
      </c>
      <c r="B9" s="5" t="n">
        <v>13315.83</v>
      </c>
      <c r="C9" s="5" t="n">
        <v>7663.54</v>
      </c>
      <c r="D9" s="5" t="n">
        <v>6484.53</v>
      </c>
      <c r="E9" s="5" t="n">
        <v>4299.9</v>
      </c>
      <c r="F9" s="5" t="n">
        <v>2912.84</v>
      </c>
      <c r="G9" s="6" t="n">
        <v>34676.64</v>
      </c>
      <c r="H9" s="7" t="n">
        <v>0.02699999957954405</v>
      </c>
    </row>
    <row r="10">
      <c r="A10" s="4" t="inlineStr">
        <is>
          <t>Cigna STD/LTD</t>
        </is>
      </c>
      <c r="B10" s="5" t="n">
        <v>15288.55</v>
      </c>
      <c r="C10" s="5" t="n">
        <v>8798.879999999999</v>
      </c>
      <c r="D10" s="5" t="n">
        <v>7445.2</v>
      </c>
      <c r="E10" s="5" t="n">
        <v>4936.93</v>
      </c>
      <c r="F10" s="5" t="n">
        <v>3344.37</v>
      </c>
      <c r="G10" s="6" t="n">
        <v>39813.93</v>
      </c>
      <c r="H10" s="7" t="n">
        <v>0.03100000730347566</v>
      </c>
    </row>
    <row r="11">
      <c r="A11" s="8" t="inlineStr">
        <is>
          <t>TOTAL</t>
        </is>
      </c>
      <c r="B11" s="6">
        <f>SUM(B5:B10)</f>
        <v/>
      </c>
      <c r="C11" s="6">
        <f>SUM(C5:C10)</f>
        <v/>
      </c>
      <c r="D11" s="6">
        <f>SUM(D5:D10)</f>
        <v/>
      </c>
      <c r="E11" s="6">
        <f>SUM(E5:E10)</f>
        <v/>
      </c>
      <c r="F11" s="6">
        <f>SUM(F5:F10)</f>
        <v/>
      </c>
      <c r="G11" s="6">
        <f>SUM(G5:G10)</f>
        <v/>
      </c>
      <c r="H11" s="9" t="n">
        <v>1</v>
      </c>
    </row>
  </sheetData>
  <conditionalFormatting sqref="B5:F10">
    <cfRule type="colorScale" priority="1">
      <colorScale>
        <cfvo type="min"/>
        <cfvo type="percentile" val="50"/>
        <cfvo type="max"/>
        <color rgb="00F4F1FF"/>
        <color rgb="00C7B9FF"/>
        <color rgb="006C47FF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  <col width="22" customWidth="1" min="5" max="5"/>
    <col width="20" customWidth="1" min="6" max="6"/>
    <col width="14" customWidth="1" min="7" max="7"/>
    <col width="12" customWidth="1" min="8" max="8"/>
  </cols>
  <sheetData>
    <row r="1">
      <c r="A1" s="1" t="inlineStr">
        <is>
          <t>Variance Analysis — June vs May 2026 + FY Budget</t>
        </is>
      </c>
    </row>
    <row r="2">
      <c r="A2" s="2" t="inlineStr">
        <is>
          <t>CFO callout view — material variance ≥ $50K triggers Ziggy sign-off requirement</t>
        </is>
      </c>
    </row>
    <row r="3"/>
    <row r="4" ht="32" customHeight="1">
      <c r="A4" s="3" t="inlineStr">
        <is>
          <t>Division</t>
        </is>
      </c>
      <c r="B4" s="3" t="inlineStr">
        <is>
          <t>May 2026</t>
        </is>
      </c>
      <c r="C4" s="3" t="inlineStr">
        <is>
          <t>Jun 2026</t>
        </is>
      </c>
      <c r="D4" s="3" t="inlineStr">
        <is>
          <t>MoM $</t>
        </is>
      </c>
      <c r="E4" s="3" t="inlineStr">
        <is>
          <t>MoM %</t>
        </is>
      </c>
      <c r="F4" s="3" t="inlineStr">
        <is>
          <t>FY Run-Rate Budget</t>
        </is>
      </c>
      <c r="G4" s="3" t="inlineStr">
        <is>
          <t>YTD Variance</t>
        </is>
      </c>
      <c r="H4" s="3" t="inlineStr">
        <is>
          <t>Status</t>
        </is>
      </c>
    </row>
    <row r="5">
      <c r="A5" s="4" t="inlineStr">
        <is>
          <t>Hendrickson Truck Suspension</t>
        </is>
      </c>
      <c r="B5" s="5" t="n">
        <v>469100</v>
      </c>
      <c r="C5" s="5" t="n">
        <v>493180</v>
      </c>
      <c r="D5" s="5" t="n">
        <v>24080</v>
      </c>
      <c r="E5" s="7" t="n">
        <v>0.05133233852057131</v>
      </c>
      <c r="F5" s="5" t="n">
        <v>5640000</v>
      </c>
      <c r="G5" s="5" t="n">
        <v>139080</v>
      </c>
      <c r="H5" s="10" t="inlineStr">
        <is>
          <t>CFO REVIEW</t>
        </is>
      </c>
    </row>
    <row r="6">
      <c r="A6" s="4" t="inlineStr">
        <is>
          <t>Boler Hitch</t>
        </is>
      </c>
      <c r="B6" s="5" t="n">
        <v>281430</v>
      </c>
      <c r="C6" s="5" t="n">
        <v>283844</v>
      </c>
      <c r="D6" s="5" t="n">
        <v>2414</v>
      </c>
      <c r="E6" s="7" t="n">
        <v>0.00857762143339374</v>
      </c>
      <c r="F6" s="5" t="n">
        <v>3360000</v>
      </c>
      <c r="G6" s="5" t="n">
        <v>23064</v>
      </c>
      <c r="H6" s="11" t="inlineStr">
        <is>
          <t>OK</t>
        </is>
      </c>
    </row>
    <row r="7">
      <c r="A7" s="4" t="inlineStr">
        <is>
          <t>Cequent Performance</t>
        </is>
      </c>
      <c r="B7" s="5" t="n">
        <v>235870</v>
      </c>
      <c r="C7" s="5" t="n">
        <v>240168</v>
      </c>
      <c r="D7" s="5" t="n">
        <v>4298</v>
      </c>
      <c r="E7" s="7" t="n">
        <v>0.01822190189511171</v>
      </c>
      <c r="F7" s="5" t="n">
        <v>2820000</v>
      </c>
      <c r="G7" s="5" t="n">
        <v>31008</v>
      </c>
      <c r="H7" s="11" t="inlineStr">
        <is>
          <t>OK</t>
        </is>
      </c>
    </row>
    <row r="8">
      <c r="A8" s="4" t="inlineStr">
        <is>
          <t>ROHO Group</t>
        </is>
      </c>
      <c r="B8" s="5" t="n">
        <v>158610</v>
      </c>
      <c r="C8" s="5" t="n">
        <v>159256</v>
      </c>
      <c r="D8" s="5" t="n">
        <v>646</v>
      </c>
      <c r="E8" s="7" t="n">
        <v>0.004072883172561629</v>
      </c>
      <c r="F8" s="5" t="n">
        <v>1920000</v>
      </c>
      <c r="G8" s="5" t="n">
        <v>-4464</v>
      </c>
      <c r="H8" s="11" t="inlineStr">
        <is>
          <t>OK</t>
        </is>
      </c>
    </row>
    <row r="9">
      <c r="A9" s="4" t="inlineStr">
        <is>
          <t>Henderson Wheel</t>
        </is>
      </c>
      <c r="B9" s="5" t="n">
        <v>105890</v>
      </c>
      <c r="C9" s="5" t="n">
        <v>107872</v>
      </c>
      <c r="D9" s="5" t="n">
        <v>1982</v>
      </c>
      <c r="E9" s="7" t="n">
        <v>0.0187175370667674</v>
      </c>
      <c r="F9" s="5" t="n">
        <v>1260000</v>
      </c>
      <c r="G9" s="5" t="n">
        <v>17232</v>
      </c>
      <c r="H9" s="11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2026-06-10T16:18:34Z</dcterms:created>
  <dcterms:modified xmlns:dcterms="http://purl.org/dc/terms/" xmlns:xsi="http://www.w3.org/2001/XMLSchema-instance" xsi:type="dcterms:W3CDTF">2026-06-10T16:18:34Z</dcterms:modified>
</cp:coreProperties>
</file>