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tion Registe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.0%"/>
    <numFmt numFmtId="166" formatCode="yyyy-mm-dd h:mm:ss"/>
    <numFmt numFmtId="167" formatCode="yyyy-mm-dd hh:mm"/>
    <numFmt numFmtId="168" formatCode="&quot;$&quot;#,##0"/>
  </numFmts>
  <fonts count="8">
    <font>
      <name val="Calibri"/>
      <family val="2"/>
      <color theme="1"/>
      <sz val="11"/>
      <scheme val="minor"/>
    </font>
    <font>
      <b val="1"/>
      <color rgb="006C47FF"/>
      <sz val="18"/>
    </font>
    <font>
      <i val="1"/>
      <color rgb="00475569"/>
      <sz val="11"/>
    </font>
    <font>
      <b val="1"/>
      <color rgb="00FFFFFF"/>
      <sz val="11"/>
    </font>
    <font>
      <b val="1"/>
      <color rgb="00DC2626"/>
    </font>
    <font>
      <b val="1"/>
      <color rgb="00F59E0B"/>
    </font>
    <font>
      <b val="1"/>
      <color rgb="0016A34A"/>
    </font>
    <font>
      <b val="1"/>
      <color rgb="00475569"/>
    </font>
  </fonts>
  <fills count="3">
    <fill>
      <patternFill/>
    </fill>
    <fill>
      <patternFill patternType="gray125"/>
    </fill>
    <fill>
      <patternFill patternType="solid">
        <fgColor rgb="006C47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167" fontId="0" fillId="0" borderId="1" pivotButton="0" quotePrefix="0" xfId="0"/>
    <xf numFmtId="0" fontId="7" fillId="0" borderId="1" pivotButton="0" quotePrefix="0" xfId="0"/>
    <xf numFmtId="168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0" customWidth="1" min="3" max="3"/>
    <col width="15" customWidth="1" min="4" max="4"/>
    <col width="28" customWidth="1" min="5" max="5"/>
    <col width="30" customWidth="1" min="6" max="6"/>
    <col width="29" customWidth="1" min="7" max="7"/>
    <col width="12" customWidth="1" min="8" max="8"/>
    <col width="12" customWidth="1" min="9" max="9"/>
    <col width="14" customWidth="1" min="10" max="10"/>
    <col width="10" customWidth="1" min="11" max="11"/>
    <col width="16" customWidth="1" min="12" max="12"/>
    <col width="21" customWidth="1" min="13" max="13"/>
  </cols>
  <sheetData>
    <row r="1">
      <c r="A1" s="1" t="inlineStr">
        <is>
          <t>Exception Register — June 2026 Close Cycle</t>
        </is>
      </c>
    </row>
    <row r="2">
      <c r="A2" s="2" t="inlineStr">
        <is>
          <t>7 exceptions detected  ·  4 auto-fixed by APEX  ·  3 routed to HITL</t>
        </is>
      </c>
    </row>
    <row r="3"/>
    <row r="4" ht="38" customHeight="1">
      <c r="A4" s="3" t="inlineStr">
        <is>
          <t>Exception ID</t>
        </is>
      </c>
      <c r="B4" s="3" t="inlineStr">
        <is>
          <t>Type</t>
        </is>
      </c>
      <c r="C4" s="3" t="inlineStr">
        <is>
          <t>Severity</t>
        </is>
      </c>
      <c r="D4" s="3" t="inlineStr">
        <is>
          <t>Carrier</t>
        </is>
      </c>
      <c r="E4" s="3" t="inlineStr">
        <is>
          <t>Employee</t>
        </is>
      </c>
      <c r="F4" s="3" t="inlineStr">
        <is>
          <t>Expected</t>
        </is>
      </c>
      <c r="G4" s="3" t="inlineStr">
        <is>
          <t>Observed</t>
        </is>
      </c>
      <c r="H4" s="3" t="inlineStr">
        <is>
          <t>Variance $</t>
        </is>
      </c>
      <c r="I4" s="3" t="inlineStr">
        <is>
          <t>Confidence</t>
        </is>
      </c>
      <c r="J4" s="3" t="inlineStr">
        <is>
          <t>Routing</t>
        </is>
      </c>
      <c r="K4" s="3" t="inlineStr">
        <is>
          <t>Status</t>
        </is>
      </c>
      <c r="L4" s="3" t="inlineStr">
        <is>
          <t>Resolved By</t>
        </is>
      </c>
      <c r="M4" s="3" t="inlineStr">
        <is>
          <t>Resolved At</t>
        </is>
      </c>
    </row>
    <row r="5">
      <c r="A5" s="4" t="inlineStr">
        <is>
          <t>EXC-2026-0441</t>
        </is>
      </c>
      <c r="B5" s="4" t="inlineStr">
        <is>
          <t>wrong_division</t>
        </is>
      </c>
      <c r="C5" s="5" t="inlineStr">
        <is>
          <t>HIGH</t>
        </is>
      </c>
      <c r="D5" s="4" t="inlineStr">
        <is>
          <t>Cigna Medical</t>
        </is>
      </c>
      <c r="E5" s="4" t="inlineStr">
        <is>
          <t>Chen, Robert (EE-104891)</t>
        </is>
      </c>
      <c r="F5" s="4" t="inlineStr">
        <is>
          <t>Hendrickson Truck Suspension</t>
        </is>
      </c>
      <c r="G5" s="4" t="inlineStr">
        <is>
          <t>Boler Hitch</t>
        </is>
      </c>
      <c r="H5" s="6" t="n">
        <v>2840</v>
      </c>
      <c r="I5" s="7" t="n">
        <v>0.9399999999999999</v>
      </c>
      <c r="J5" s="4" t="inlineStr">
        <is>
          <t>Benefits Mgr</t>
        </is>
      </c>
      <c r="K5" s="8" t="inlineStr">
        <is>
          <t>PENDING</t>
        </is>
      </c>
      <c r="L5" s="4" t="inlineStr">
        <is>
          <t>Sarah Mitchell</t>
        </is>
      </c>
      <c r="M5" s="4" t="n"/>
    </row>
    <row r="6">
      <c r="A6" s="4" t="inlineStr">
        <is>
          <t>EXC-2026-0442</t>
        </is>
      </c>
      <c r="B6" s="4" t="inlineStr">
        <is>
          <t>duplicate_cobra</t>
        </is>
      </c>
      <c r="C6" s="5" t="inlineStr">
        <is>
          <t>HIGH</t>
        </is>
      </c>
      <c r="D6" s="4" t="inlineStr">
        <is>
          <t>Cigna Medical</t>
        </is>
      </c>
      <c r="E6" s="4" t="inlineStr">
        <is>
          <t>Martinez, Luis (EE-108372)</t>
        </is>
      </c>
      <c r="F6" s="4" t="inlineStr">
        <is>
          <t>1 active enrollment</t>
        </is>
      </c>
      <c r="G6" s="4" t="inlineStr">
        <is>
          <t>2 active enrollments</t>
        </is>
      </c>
      <c r="H6" s="6" t="n">
        <v>-1485</v>
      </c>
      <c r="I6" s="7" t="n">
        <v>0.97</v>
      </c>
      <c r="J6" s="4" t="inlineStr">
        <is>
          <t>Benefits Mgr</t>
        </is>
      </c>
      <c r="K6" s="8" t="inlineStr">
        <is>
          <t>PENDING</t>
        </is>
      </c>
      <c r="L6" s="4" t="inlineStr">
        <is>
          <t>Sarah Mitchell</t>
        </is>
      </c>
      <c r="M6" s="4" t="n"/>
    </row>
    <row r="7">
      <c r="A7" s="4" t="inlineStr">
        <is>
          <t>EXC-2026-0443</t>
        </is>
      </c>
      <c r="B7" s="4" t="inlineStr">
        <is>
          <t>carrier_drift</t>
        </is>
      </c>
      <c r="C7" s="5" t="inlineStr">
        <is>
          <t>CRITICAL</t>
        </is>
      </c>
      <c r="D7" s="4" t="inlineStr">
        <is>
          <t>Cigna Medical</t>
        </is>
      </c>
      <c r="E7" s="4" t="inlineStr">
        <is>
          <t>847 lives portfolio-wide</t>
        </is>
      </c>
      <c r="F7" s="4" t="inlineStr">
        <is>
          <t>Plan-doc rate $1,840</t>
        </is>
      </c>
      <c r="G7" s="4" t="inlineStr">
        <is>
          <t>Billed rate $1,908</t>
        </is>
      </c>
      <c r="H7" s="6" t="n">
        <v>47640</v>
      </c>
      <c r="I7" s="7" t="n">
        <v>0.98</v>
      </c>
      <c r="J7" s="4" t="inlineStr">
        <is>
          <t>CFO</t>
        </is>
      </c>
      <c r="K7" s="8" t="inlineStr">
        <is>
          <t>PENDING</t>
        </is>
      </c>
      <c r="L7" s="4" t="inlineStr">
        <is>
          <t>Ziggy Kravitz</t>
        </is>
      </c>
      <c r="M7" s="4" t="n"/>
    </row>
    <row r="8">
      <c r="A8" s="4" t="inlineStr">
        <is>
          <t>EXC-2026-0444</t>
        </is>
      </c>
      <c r="B8" s="4" t="inlineStr">
        <is>
          <t>auto_fixed_transfer</t>
        </is>
      </c>
      <c r="C8" s="9" t="inlineStr">
        <is>
          <t>LOW</t>
        </is>
      </c>
      <c r="D8" s="4" t="inlineStr">
        <is>
          <t>Multi-carrier</t>
        </is>
      </c>
      <c r="E8" s="4" t="inlineStr">
        <is>
          <t>4 internal transfers</t>
        </is>
      </c>
      <c r="F8" s="4" t="inlineStr">
        <is>
          <t>Effective-dated divisions</t>
        </is>
      </c>
      <c r="G8" s="4" t="inlineStr">
        <is>
          <t>Old division still billed</t>
        </is>
      </c>
      <c r="H8" s="6" t="n">
        <v>1240</v>
      </c>
      <c r="I8" s="7" t="n">
        <v>0.96</v>
      </c>
      <c r="J8" s="4" t="inlineStr">
        <is>
          <t>Auto-fix</t>
        </is>
      </c>
      <c r="K8" s="9" t="inlineStr">
        <is>
          <t>RESOLVED</t>
        </is>
      </c>
      <c r="L8" s="4" t="inlineStr">
        <is>
          <t>APEX</t>
        </is>
      </c>
      <c r="M8" s="10" t="n">
        <v>46178.15763888889</v>
      </c>
    </row>
    <row r="9">
      <c r="A9" s="4" t="inlineStr">
        <is>
          <t>EXC-2026-0445</t>
        </is>
      </c>
      <c r="B9" s="4" t="inlineStr">
        <is>
          <t>k401_rate_mismatch</t>
        </is>
      </c>
      <c r="C9" s="5" t="inlineStr">
        <is>
          <t>HIGH</t>
        </is>
      </c>
      <c r="D9" s="4" t="inlineStr">
        <is>
          <t>Fidelity 401k</t>
        </is>
      </c>
      <c r="E9" s="4" t="inlineStr">
        <is>
          <t>Portfolio-wide ER match</t>
        </is>
      </c>
      <c r="F9" s="4" t="inlineStr">
        <is>
          <t>Plan doc: 4.0% match</t>
        </is>
      </c>
      <c r="G9" s="4" t="inlineStr">
        <is>
          <t>Fidelity billed: 4.5% match</t>
        </is>
      </c>
      <c r="H9" s="6" t="n">
        <v>11420</v>
      </c>
      <c r="I9" s="7" t="n">
        <v>0.9399999999999999</v>
      </c>
      <c r="J9" s="4" t="inlineStr">
        <is>
          <t>Benefits Mgr</t>
        </is>
      </c>
      <c r="K9" s="8" t="inlineStr">
        <is>
          <t>PENDING</t>
        </is>
      </c>
      <c r="L9" s="4" t="inlineStr">
        <is>
          <t>Sarah Mitchell</t>
        </is>
      </c>
      <c r="M9" s="4" t="n"/>
    </row>
    <row r="10">
      <c r="A10" s="4" t="inlineStr">
        <is>
          <t>EXC-2026-0446</t>
        </is>
      </c>
      <c r="B10" s="4" t="inlineStr">
        <is>
          <t>terminated_on_roster</t>
        </is>
      </c>
      <c r="C10" s="8" t="inlineStr">
        <is>
          <t>MEDIUM</t>
        </is>
      </c>
      <c r="D10" s="4" t="inlineStr">
        <is>
          <t>Cigna Medical</t>
        </is>
      </c>
      <c r="E10" s="4" t="inlineStr">
        <is>
          <t>Thompson, Greg (EE-101204)</t>
        </is>
      </c>
      <c r="F10" s="4" t="inlineStr">
        <is>
          <t>Removed 2026-05-22</t>
        </is>
      </c>
      <c r="G10" s="4" t="inlineStr">
        <is>
          <t>Still on June roster</t>
        </is>
      </c>
      <c r="H10" s="6" t="n">
        <v>1840</v>
      </c>
      <c r="I10" s="7" t="n">
        <v>0.99</v>
      </c>
      <c r="J10" s="4" t="inlineStr">
        <is>
          <t>Auto-fix</t>
        </is>
      </c>
      <c r="K10" s="9" t="inlineStr">
        <is>
          <t>RESOLVED</t>
        </is>
      </c>
      <c r="L10" s="4" t="inlineStr">
        <is>
          <t>APEX</t>
        </is>
      </c>
      <c r="M10" s="10" t="n">
        <v>46178.16111111111</v>
      </c>
    </row>
    <row r="11">
      <c r="A11" s="4" t="inlineStr">
        <is>
          <t>EXC-2026-0447</t>
        </is>
      </c>
      <c r="B11" s="4" t="inlineStr">
        <is>
          <t>new_hire_no_cc</t>
        </is>
      </c>
      <c r="C11" s="9" t="inlineStr">
        <is>
          <t>LOW</t>
        </is>
      </c>
      <c r="D11" s="4" t="inlineStr">
        <is>
          <t>Multiple</t>
        </is>
      </c>
      <c r="E11" s="4" t="inlineStr">
        <is>
          <t>12 new hires (May class)</t>
        </is>
      </c>
      <c r="F11" s="4" t="inlineStr">
        <is>
          <t>Cost center assigned</t>
        </is>
      </c>
      <c r="G11" s="4" t="inlineStr">
        <is>
          <t>Cost center blank</t>
        </is>
      </c>
      <c r="H11" s="6" t="n">
        <v>0</v>
      </c>
      <c r="I11" s="7" t="n">
        <v>0.98</v>
      </c>
      <c r="J11" s="4" t="inlineStr">
        <is>
          <t>Auto-fix</t>
        </is>
      </c>
      <c r="K11" s="9" t="inlineStr">
        <is>
          <t>RESOLVED</t>
        </is>
      </c>
      <c r="L11" s="4" t="inlineStr">
        <is>
          <t>APEX</t>
        </is>
      </c>
      <c r="M11" s="10" t="n">
        <v>46178.16527777778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2" customWidth="1" min="1" max="1"/>
    <col width="35" customWidth="1" min="2" max="2"/>
  </cols>
  <sheetData>
    <row r="1">
      <c r="A1" s="1" t="inlineStr">
        <is>
          <t>Exception Summary — KPIs</t>
        </is>
      </c>
    </row>
    <row r="2">
      <c r="A2" s="2" t="inlineStr">
        <is>
          <t>Roll-up shown on Command Center dashboard</t>
        </is>
      </c>
    </row>
    <row r="3"/>
    <row r="4">
      <c r="A4" s="11" t="inlineStr">
        <is>
          <t>Total Exceptions</t>
        </is>
      </c>
      <c r="B4" s="4" t="n">
        <v>7</v>
      </c>
    </row>
    <row r="5">
      <c r="A5" s="11" t="inlineStr">
        <is>
          <t>Auto-Fixed by APEX</t>
        </is>
      </c>
      <c r="B5" s="4" t="n">
        <v>4</v>
      </c>
    </row>
    <row r="6">
      <c r="A6" s="11" t="inlineStr">
        <is>
          <t>Routed to Benefits Manager (Sarah)</t>
        </is>
      </c>
      <c r="B6" s="4" t="n">
        <v>3</v>
      </c>
    </row>
    <row r="7">
      <c r="A7" s="11" t="inlineStr">
        <is>
          <t>Routed to CFO (Ziggy)</t>
        </is>
      </c>
      <c r="B7" s="4" t="n">
        <v>1</v>
      </c>
    </row>
    <row r="8">
      <c r="A8" s="11" t="inlineStr">
        <is>
          <t>Total $ Variance Identified</t>
        </is>
      </c>
      <c r="B8" s="4">
        <f>SUM('Exception Register'.H5:H11)</f>
        <v/>
      </c>
    </row>
    <row r="9">
      <c r="A9" s="11" t="inlineStr">
        <is>
          <t>Avg Confidence Score</t>
        </is>
      </c>
      <c r="B9" s="7" t="n">
        <v>0.964</v>
      </c>
    </row>
    <row r="10">
      <c r="A10" s="11" t="inlineStr">
        <is>
          <t>Time-to-Auto-Fix (avg)</t>
        </is>
      </c>
      <c r="B10" s="4" t="inlineStr">
        <is>
          <t>4.2 minutes</t>
        </is>
      </c>
    </row>
    <row r="11">
      <c r="A11" s="11" t="inlineStr">
        <is>
          <t>Time-to-HITL-Resolution (avg)</t>
        </is>
      </c>
      <c r="B11" s="4" t="inlineStr">
        <is>
          <t>2.8 hours</t>
        </is>
      </c>
    </row>
    <row r="12">
      <c r="A12" s="11" t="inlineStr">
        <is>
          <t>Annual Run-Rate Value (savings)</t>
        </is>
      </c>
      <c r="B12" s="12" t="n">
        <v>671000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2026-06-10T16:18:34Z</dcterms:created>
  <dcterms:modified xmlns:dcterms="http://purl.org/dc/terms/" xmlns:xsi="http://www.w3.org/2001/XMLSchema-instance" xsi:type="dcterms:W3CDTF">2026-06-10T16:18:34Z</dcterms:modified>
</cp:coreProperties>
</file>